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daccueil" sheetId="1" r:id="rId5"/>
    <sheet state="visible" name="Référentiels" sheetId="2" r:id="rId6"/>
    <sheet state="visible" name="Fraudes factures" sheetId="3" r:id="rId7"/>
    <sheet state="visible" name="Factures invalides" sheetId="4" r:id="rId8"/>
    <sheet state="visible" name="Fraudes ordonnances" sheetId="5" r:id="rId9"/>
    <sheet state="visible" name="Fraudes contrats" sheetId="6" r:id="rId10"/>
    <sheet state="visible" name="Fraudes prestataires" sheetId="7" r:id="rId11"/>
    <sheet state="visible" name="Récapitulatif" sheetId="8" r:id="rId12"/>
  </sheets>
  <definedNames>
    <definedName hidden="1" localSheetId="2" name="_xlnm._FilterDatabase">'Fraudes factures'!$A$4:$C$18</definedName>
    <definedName hidden="1" localSheetId="3" name="_xlnm._FilterDatabase">'Factures invalides'!$A$4:$C$14</definedName>
    <definedName hidden="1" localSheetId="4" name="_xlnm._FilterDatabase">'Fraudes ordonnances'!$A$4:$C$8</definedName>
    <definedName hidden="1" localSheetId="5" name="_xlnm._FilterDatabase">'Fraudes contrats'!$A$4:$C$8</definedName>
    <definedName hidden="1" localSheetId="6" name="_xlnm._FilterDatabase">'Fraudes prestataires'!$A$4:$C$8</definedName>
  </definedNames>
  <calcPr/>
</workbook>
</file>

<file path=xl/sharedStrings.xml><?xml version="1.0" encoding="utf-8"?>
<sst xmlns="http://schemas.openxmlformats.org/spreadsheetml/2006/main" count="197" uniqueCount="160">
  <si>
    <t>1. Référentiels métier</t>
  </si>
  <si>
    <t>3. Factures invalides</t>
  </si>
  <si>
    <t>2. Fraudes liées aux factures</t>
  </si>
  <si>
    <t>Types de facture</t>
  </si>
  <si>
    <t>N°</t>
  </si>
  <si>
    <t>Référentiel métier</t>
  </si>
  <si>
    <t>Code d'invalidité</t>
  </si>
  <si>
    <t>Description</t>
  </si>
  <si>
    <t>Code de fraude</t>
  </si>
  <si>
    <t>Types d'ordonnance</t>
  </si>
  <si>
    <t xml:space="preserve"> </t>
  </si>
  <si>
    <t>MONTANT_NEGATIF</t>
  </si>
  <si>
    <t>Types de prestataire</t>
  </si>
  <si>
    <t>SURFACTURATION</t>
  </si>
  <si>
    <t>Version :</t>
  </si>
  <si>
    <t>Montant ou quantité négatif sur une ligne</t>
  </si>
  <si>
    <t>Spécialités médicales</t>
  </si>
  <si>
    <t>1.0</t>
  </si>
  <si>
    <t>Prix unitaire anormalement élevé par rapport au tarif conventionnel</t>
  </si>
  <si>
    <t>Formules de couverture</t>
  </si>
  <si>
    <t>Date de version :</t>
  </si>
  <si>
    <t>CODE_ACTE_INCONNU</t>
  </si>
  <si>
    <t>Code d'acte absent du référentiel</t>
  </si>
  <si>
    <t>QUANTITE_EXCESSIVE</t>
  </si>
  <si>
    <t>Date de revue :</t>
  </si>
  <si>
    <t>DATE_FUTURE</t>
  </si>
  <si>
    <t>Valeur</t>
  </si>
  <si>
    <t>Date de soin dans le futur</t>
  </si>
  <si>
    <t>DATE_IMPOSSIBLE</t>
  </si>
  <si>
    <t>Créé par :</t>
  </si>
  <si>
    <t>Quantité facturée très supérieure à la quantité prescrite</t>
  </si>
  <si>
    <t>Date au format invalide ou inexistante</t>
  </si>
  <si>
    <t>Automation project lead</t>
  </si>
  <si>
    <t>CHAMP_OBLIGATOIRE_MANQUANT</t>
  </si>
  <si>
    <t>UPCODING</t>
  </si>
  <si>
    <t>Identifiant assuré ou prestataire manquant</t>
  </si>
  <si>
    <t>Appartenant à :</t>
  </si>
  <si>
    <t>Acte facturé plus coûteux que l'acte réellement réalisé (majoration, urgence ou spécialité indue)</t>
  </si>
  <si>
    <t>TOTAL_INCOHERENT</t>
  </si>
  <si>
    <t>Total facture différent de la somme des lignes</t>
  </si>
  <si>
    <t>LIGNES_NON_PRESCRITES</t>
  </si>
  <si>
    <t>Approuvé par :</t>
  </si>
  <si>
    <t>Actes ou médicaments facturés absents de l'ordonnance</t>
  </si>
  <si>
    <t>PRESTATAIRE_INCONNU</t>
  </si>
  <si>
    <t>SUBSTITUTION_PRODUIT</t>
  </si>
  <si>
    <t>Prestataire absent du référentiel</t>
  </si>
  <si>
    <t>Médicament coûteux non prescrit facturé à la place du produit délivré (souvent un produit exclu)</t>
  </si>
  <si>
    <t>ASSURE_INCONNU</t>
  </si>
  <si>
    <t>Assuré absent du référentiel</t>
  </si>
  <si>
    <t>ORDONNANCE_EXPIREE</t>
  </si>
  <si>
    <t>Normes et règlements applicables :</t>
  </si>
  <si>
    <t>Soin réalisé après la date de validité de l'ordonnance</t>
  </si>
  <si>
    <t>DEVISE_INVALIDE</t>
  </si>
  <si>
    <t>Devise différente de MGA</t>
  </si>
  <si>
    <t xml:space="preserve">ISO/IEC 27001 - ISO 9001 - ISO/IEC 42001 - ISO 26000 - RGPD </t>
  </si>
  <si>
    <t>CONSULTATION</t>
  </si>
  <si>
    <t>FACTURE_SANS_LIGNE</t>
  </si>
  <si>
    <t>Niveau de confidentialité :</t>
  </si>
  <si>
    <t>MEDICAMENTS</t>
  </si>
  <si>
    <t>Facture sans aucune ligne</t>
  </si>
  <si>
    <t>SOINS_JOUR_FERME</t>
  </si>
  <si>
    <t>PHARMACIE</t>
  </si>
  <si>
    <t>Soin daté d'un jour de fermeture du prestataire</t>
  </si>
  <si>
    <t>CARDIOLOGIE</t>
  </si>
  <si>
    <t>ESSENTIEL</t>
  </si>
  <si>
    <t>DOUBLON</t>
  </si>
  <si>
    <t>Facture soumise deux fois (même soin, numéro identique ou légèrement modifié)</t>
  </si>
  <si>
    <t>TLP Rouge - Confidentiel</t>
  </si>
  <si>
    <t>FRACTIONNEMENT</t>
  </si>
  <si>
    <t>Facture découpée en plusieurs factures le même jour pour contourner les contrôles</t>
  </si>
  <si>
    <t>SURCONSOMMATION</t>
  </si>
  <si>
    <t>Nomadisme pharmaceutique : même ordonnance présentée dans plusieurs pharmacies</t>
  </si>
  <si>
    <t>ACTE_FICTIF</t>
  </si>
  <si>
    <t>Acte facturé sans ordonnance ni consultation préalable (soin non réalisé)</t>
  </si>
  <si>
    <t>INCOHERENCE_PROFIL</t>
  </si>
  <si>
    <t>Acte incompatible avec l'âge ou le sexe du bénéficiaire</t>
  </si>
  <si>
    <t>Historique des modifications</t>
  </si>
  <si>
    <t>EXAMENS</t>
  </si>
  <si>
    <t>PRESTATAIRE_RADIE</t>
  </si>
  <si>
    <t>Facturation par un prestataire déconventionné après la date de fin de convention</t>
  </si>
  <si>
    <t>CABINET_GENERALISTE</t>
  </si>
  <si>
    <t>PEDIATRIE</t>
  </si>
  <si>
    <t>HORS_COUVERTURE</t>
  </si>
  <si>
    <t>CONFORT</t>
  </si>
  <si>
    <t>Soin hors période de couverture (avant adhésion, après radiation ou pendant la carence)</t>
  </si>
  <si>
    <t>LABORATOIRE</t>
  </si>
  <si>
    <t>Date</t>
  </si>
  <si>
    <t>KINE</t>
  </si>
  <si>
    <t>CABINET_SPECIALISTE</t>
  </si>
  <si>
    <t>GYNECOLOGIE</t>
  </si>
  <si>
    <t>PREMIUM</t>
  </si>
  <si>
    <t>Version</t>
  </si>
  <si>
    <t>IMAGERIE</t>
  </si>
  <si>
    <t>Créé par</t>
  </si>
  <si>
    <t>OPTIQUE</t>
  </si>
  <si>
    <t>CLINIQUE</t>
  </si>
  <si>
    <t>OPHTALMOLOGIE</t>
  </si>
  <si>
    <t>Description du changement</t>
  </si>
  <si>
    <t>HOSPITALISATION</t>
  </si>
  <si>
    <t>DERMATOLOGIE</t>
  </si>
  <si>
    <t>MATERNITE</t>
  </si>
  <si>
    <t>CENTRE_IMAGERIE</t>
  </si>
  <si>
    <t>ORL</t>
  </si>
  <si>
    <t>[1.0]</t>
  </si>
  <si>
    <t>DENTAIRE</t>
  </si>
  <si>
    <t>CABINET_DENTAIRE</t>
  </si>
  <si>
    <t>Première version</t>
  </si>
  <si>
    <t>NEUROLOGIE</t>
  </si>
  <si>
    <t>OPTICIEN</t>
  </si>
  <si>
    <t>PNEUMOLOGIE</t>
  </si>
  <si>
    <t>KINESITHERAPIE</t>
  </si>
  <si>
    <t>CABINET_KINE</t>
  </si>
  <si>
    <t>ENDOCRINOLOGIE</t>
  </si>
  <si>
    <t>GASTRO-ENTEROLOGIE</t>
  </si>
  <si>
    <t>RHUMATOLOGIE</t>
  </si>
  <si>
    <t>PSYCHIATRIE</t>
  </si>
  <si>
    <t>Historique des revues</t>
  </si>
  <si>
    <t>UROLOGIE</t>
  </si>
  <si>
    <t>Revu par</t>
  </si>
  <si>
    <t>Description de la revue</t>
  </si>
  <si>
    <t>NEPHROLOGIE</t>
  </si>
  <si>
    <t>Première revue</t>
  </si>
  <si>
    <t>TRAUMATO-ORTHOPEDIE</t>
  </si>
  <si>
    <t>CANCEROLOGIE</t>
  </si>
  <si>
    <t>4. Fraudes liées aux ordonnances</t>
  </si>
  <si>
    <t>5. Fraudes liées aux contrats</t>
  </si>
  <si>
    <t>ORDONNANCE_FALSIFIEE</t>
  </si>
  <si>
    <t>Quantité ou durée surchargée après la prescription</t>
  </si>
  <si>
    <t>BENEFICIAIRE_FICTIF</t>
  </si>
  <si>
    <t>Enfant déclaré incohérent avec l'âge du parent (bénéficiaire probablement fictif)</t>
  </si>
  <si>
    <t>PRESCRIPTEUR_INCOMPATIBLE</t>
  </si>
  <si>
    <t>Prescription hors du champ de compétence du prescripteur</t>
  </si>
  <si>
    <t>AGE_LIMITE_DEPASSE</t>
  </si>
  <si>
    <t>Enfant à charge au-delà de l'âge limite de 25 ans</t>
  </si>
  <si>
    <t>PRESCRIPTEUR_RADIE</t>
  </si>
  <si>
    <t>Prescripteur déconventionné ou numéro ONM invalide</t>
  </si>
  <si>
    <t>DOUBLE_AFFILIATION</t>
  </si>
  <si>
    <t>Même identité affiliée sur deux contrats</t>
  </si>
  <si>
    <t>ORDONNANCE_ANTIDATEE</t>
  </si>
  <si>
    <t>Ordonnance datée avant l'adhésion du bénéficiaire pour couvrir un soin antérieur</t>
  </si>
  <si>
    <t>ADHESION_RETROACTIVE</t>
  </si>
  <si>
    <t>Date d'adhésion antérieure à la date d'effet de la police</t>
  </si>
  <si>
    <t>6. Fraudes liées aux prestataires</t>
  </si>
  <si>
    <t>PRESTATAIRE_FICTIF</t>
  </si>
  <si>
    <t>Coordonnées invérifiables, création récente et tarifs très élevés</t>
  </si>
  <si>
    <t>FAUX_CONVENTIONNEMENT</t>
  </si>
  <si>
    <t>Se déclare actif alors que la convention a pris fin</t>
  </si>
  <si>
    <t>TARIFS_ABUSIFS</t>
  </si>
  <si>
    <t>Grille tarifaire systématiquement au-dessus du tarif maximal du référentiel</t>
  </si>
  <si>
    <t>SPECIALITE_NON_DECLAREE</t>
  </si>
  <si>
    <t>Grille contenant des actes hors de la spécialité déclarée</t>
  </si>
  <si>
    <t>7. Tableau récapitulatif global</t>
  </si>
  <si>
    <t>Catégorie</t>
  </si>
  <si>
    <t>Nombre de valeurs</t>
  </si>
  <si>
    <t>Fraudes liées aux factures</t>
  </si>
  <si>
    <t>Factures invalides</t>
  </si>
  <si>
    <t>Fraudes liées aux ordonnances</t>
  </si>
  <si>
    <t>Fraudes liées aux contrats</t>
  </si>
  <si>
    <t>Fraudes liées aux prestataires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</si>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</sst>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1.0"/>
      <color theme="1"/>
      <name val="Calibri"/>
      <scheme val="minor"/>
    </font>
    <font>
      <b/>
      <sz val="14.0"/>
      <color rgb="FF0064FF"/>
      <name val="Open Sans"/>
    </font>
    <font>
      <color theme="1"/>
      <name val="Open Sans"/>
    </font>
    <font>
      <sz val="11.0"/>
      <color theme="1"/>
      <name val="Titillium Web"/>
    </font>
    <font>
      <i/>
      <sz val="9.0"/>
      <color rgb="FF595959"/>
      <name val="Arial"/>
    </font>
    <font>
      <b/>
      <sz val="14.0"/>
      <color rgb="FF0064FF"/>
      <name val="Arial"/>
    </font>
    <font/>
    <font>
      <b/>
      <sz val="10.0"/>
      <color rgb="FFFFFFFF"/>
      <name val="Open Sans"/>
    </font>
    <font>
      <b/>
      <sz val="10.0"/>
      <color rgb="FFFFFFFF"/>
      <name val="Arial"/>
    </font>
    <font>
      <b/>
      <sz val="32.0"/>
      <color theme="1"/>
      <name val="Golos Text"/>
    </font>
    <font>
      <color theme="1"/>
      <name val="Arial"/>
    </font>
    <font>
      <sz val="10.0"/>
      <color theme="1"/>
      <name val="Arial"/>
    </font>
    <font>
      <sz val="11.0"/>
      <color theme="1"/>
      <name val="Open Sans"/>
    </font>
    <font>
      <sz val="10.0"/>
      <color theme="1"/>
      <name val="Open Sans"/>
    </font>
    <font>
      <b/>
      <sz val="10.0"/>
      <color theme="1"/>
      <name val="Arial"/>
    </font>
    <font>
      <b/>
      <sz val="11.0"/>
      <color theme="1"/>
      <name val="Open Sans"/>
    </font>
    <font>
      <b/>
      <sz val="10.0"/>
      <color theme="1"/>
      <name val="Open Sans"/>
    </font>
    <font>
      <b/>
      <sz val="11.0"/>
      <color rgb="FFFF0000"/>
      <name val="Open Sans"/>
    </font>
    <font>
      <b/>
      <sz val="21.0"/>
      <color theme="1"/>
      <name val="Golos Text"/>
    </font>
    <font>
      <sz val="10.0"/>
      <color rgb="FF008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64FF"/>
        <bgColor rgb="FF0064FF"/>
      </patternFill>
    </fill>
    <fill>
      <patternFill patternType="solid">
        <fgColor rgb="FFEBF3FF"/>
        <bgColor rgb="FFEBF3FF"/>
      </patternFill>
    </fill>
    <fill>
      <patternFill patternType="solid">
        <fgColor rgb="FFCCE0FF"/>
        <bgColor rgb="FFCCE0FF"/>
      </patternFill>
    </fill>
    <fill>
      <patternFill patternType="solid">
        <fgColor rgb="FFFFFFFF"/>
        <bgColor rgb="FFFFFFFF"/>
      </patternFill>
    </fill>
  </fills>
  <borders count="16">
    <border/>
    <border>
      <right style="thick">
        <color rgb="FF000000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center"/>
    </xf>
    <xf borderId="1" fillId="0" fontId="6" numFmtId="0" xfId="0" applyBorder="1" applyFont="1"/>
    <xf borderId="2" fillId="2" fontId="7" numFmtId="0" xfId="0" applyAlignment="1" applyBorder="1" applyFill="1" applyFont="1">
      <alignment horizontal="center" shrinkToFit="0" vertical="center" wrapText="0"/>
    </xf>
    <xf borderId="3" fillId="2" fontId="8" numFmtId="0" xfId="0" applyAlignment="1" applyBorder="1" applyFill="1" applyFont="1">
      <alignment horizontal="center" shrinkToFit="0" vertical="center" wrapText="0"/>
    </xf>
    <xf borderId="3" fillId="2" fontId="7" numFmtId="0" xfId="0" applyAlignment="1" applyBorder="1" applyFill="1" applyFont="1">
      <alignment horizontal="center" shrinkToFit="0" vertical="center" wrapText="0"/>
    </xf>
    <xf borderId="4" fillId="0" fontId="6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3" fillId="0" fontId="11" numFmtId="0" xfId="0" applyAlignment="1" applyBorder="1" applyFont="1">
      <alignment horizontal="center" shrinkToFit="0" vertical="top" wrapText="0"/>
    </xf>
    <xf borderId="0" fillId="0" fontId="12" numFmtId="0" xfId="0" applyAlignment="1" applyFont="1">
      <alignment vertical="center"/>
    </xf>
    <xf borderId="3" fillId="0" fontId="13" numFmtId="0" xfId="0" applyAlignment="1" applyBorder="1" applyFont="1">
      <alignment horizontal="center" shrinkToFit="0" vertical="top" wrapText="0"/>
    </xf>
    <xf borderId="3" fillId="0" fontId="14" numFmtId="0" xfId="0" applyAlignment="1" applyBorder="1" applyFont="1">
      <alignment horizontal="left" shrinkToFit="0" vertical="top" wrapText="0"/>
    </xf>
    <xf borderId="1" fillId="0" fontId="10" numFmtId="0" xfId="0" applyAlignment="1" applyBorder="1" applyFont="1">
      <alignment vertical="center"/>
    </xf>
    <xf borderId="0" fillId="0" fontId="15" numFmtId="0" xfId="0" applyAlignment="1" applyFont="1">
      <alignment horizontal="center" vertical="center"/>
    </xf>
    <xf borderId="3" fillId="0" fontId="16" numFmtId="0" xfId="0" applyAlignment="1" applyBorder="1" applyFont="1">
      <alignment horizontal="left" shrinkToFit="0" vertical="top" wrapText="0"/>
    </xf>
    <xf borderId="3" fillId="0" fontId="1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right" readingOrder="0" shrinkToFit="0" vertical="center" wrapText="1"/>
    </xf>
    <xf borderId="3" fillId="0" fontId="13" numFmtId="0" xfId="0" applyAlignment="1" applyBorder="1" applyFont="1">
      <alignment horizontal="left" shrinkToFit="0" vertical="top" wrapText="1"/>
    </xf>
    <xf borderId="3" fillId="3" fontId="11" numFmtId="0" xfId="0" applyAlignment="1" applyBorder="1" applyFill="1" applyFont="1">
      <alignment horizontal="center" shrinkToFit="0" vertical="top" wrapText="0"/>
    </xf>
    <xf borderId="3" fillId="3" fontId="14" numFmtId="0" xfId="0" applyAlignment="1" applyBorder="1" applyFill="1" applyFont="1">
      <alignment horizontal="left" shrinkToFit="0" vertical="top" wrapText="0"/>
    </xf>
    <xf borderId="3" fillId="3" fontId="13" numFmtId="0" xfId="0" applyAlignment="1" applyBorder="1" applyFill="1" applyFont="1">
      <alignment horizontal="center" shrinkToFit="0" vertical="top" wrapText="0"/>
    </xf>
    <xf borderId="0" fillId="0" fontId="12" numFmtId="164" xfId="0" applyAlignment="1" applyFont="1" applyNumberFormat="1">
      <alignment horizontal="right" readingOrder="0" shrinkToFit="0" vertical="center" wrapText="1"/>
    </xf>
    <xf borderId="3" fillId="3" fontId="11" numFmtId="0" xfId="0" applyAlignment="1" applyBorder="1" applyFill="1" applyFont="1">
      <alignment horizontal="left" shrinkToFit="0" vertical="top" wrapText="1"/>
    </xf>
    <xf borderId="3" fillId="4" fontId="16" numFmtId="0" xfId="0" applyAlignment="1" applyBorder="1" applyFill="1" applyFont="1">
      <alignment horizontal="center" shrinkToFit="0" vertical="bottom" wrapText="0"/>
    </xf>
    <xf borderId="3" fillId="3" fontId="16" numFmtId="0" xfId="0" applyAlignment="1" applyBorder="1" applyFill="1" applyFont="1">
      <alignment horizontal="left" shrinkToFit="0" vertical="top" wrapText="0"/>
    </xf>
    <xf borderId="3" fillId="3" fontId="13" numFmtId="0" xfId="0" applyAlignment="1" applyBorder="1" applyFill="1" applyFont="1">
      <alignment horizontal="left" shrinkToFit="0" vertical="top" wrapText="1"/>
    </xf>
    <xf borderId="0" fillId="0" fontId="12" numFmtId="0" xfId="0" applyAlignment="1" applyFont="1">
      <alignment horizontal="right" readingOrder="0" vertical="center"/>
    </xf>
    <xf borderId="3" fillId="0" fontId="13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horizontal="center" vertical="center"/>
    </xf>
    <xf borderId="3" fillId="0" fontId="13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center" vertical="center"/>
    </xf>
    <xf borderId="5" fillId="0" fontId="6" numFmtId="0" xfId="0" applyBorder="1" applyFont="1"/>
    <xf borderId="5" fillId="0" fontId="17" numFmtId="0" xfId="0" applyAlignment="1" applyBorder="1" applyFont="1">
      <alignment horizontal="right" readingOrder="0" shrinkToFit="0" vertical="center" wrapText="1"/>
    </xf>
    <xf borderId="3" fillId="3" fontId="13" numFmtId="0" xfId="0" applyAlignment="1" applyBorder="1" applyFill="1" applyFont="1">
      <alignment horizontal="center" shrinkToFit="0" vertical="bottom" wrapText="0"/>
    </xf>
    <xf borderId="6" fillId="0" fontId="6" numFmtId="0" xfId="0" applyBorder="1" applyFont="1"/>
    <xf borderId="3" fillId="3" fontId="13" numFmtId="0" xfId="0" applyAlignment="1" applyBorder="1" applyFill="1" applyFont="1">
      <alignment shrinkToFit="0" vertical="bottom" wrapText="0"/>
    </xf>
    <xf borderId="0" fillId="0" fontId="18" numFmtId="0" xfId="0" applyAlignment="1" applyFont="1">
      <alignment vertical="center"/>
    </xf>
    <xf borderId="7" fillId="0" fontId="10" numFmtId="0" xfId="0" applyAlignment="1" applyBorder="1" applyFont="1">
      <alignment vertical="center"/>
    </xf>
    <xf borderId="8" fillId="0" fontId="15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10" fillId="0" fontId="15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vertical="center"/>
    </xf>
    <xf borderId="12" fillId="5" fontId="12" numFmtId="164" xfId="0" applyAlignment="1" applyBorder="1" applyFill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5" fontId="12" numFmtId="0" xfId="0" applyAlignment="1" applyBorder="1" applyFill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13" fillId="0" fontId="10" numFmtId="0" xfId="0" applyAlignment="1" applyBorder="1" applyFont="1">
      <alignment vertical="center"/>
    </xf>
    <xf borderId="14" fillId="0" fontId="10" numFmtId="0" xfId="0" applyAlignment="1" applyBorder="1" applyFont="1">
      <alignment vertical="center"/>
    </xf>
    <xf borderId="15" fillId="0" fontId="10" numFmtId="0" xfId="0" applyAlignment="1" applyBorder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12" fillId="0" fontId="12" numFmtId="164" xfId="0" applyAlignment="1" applyBorder="1" applyFont="1" applyNumberFormat="1">
      <alignment horizontal="center" readingOrder="0"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3" fillId="2" fontId="8" numFmtId="0" xfId="0" applyAlignment="1" applyBorder="1" applyFill="1" applyFont="1">
      <alignment horizontal="center" shrinkToFit="0" vertical="bottom" wrapText="0"/>
    </xf>
    <xf borderId="3" fillId="0" fontId="11" numFmtId="0" xfId="0" applyAlignment="1" applyBorder="1" applyFont="1">
      <alignment shrinkToFit="0" vertical="bottom" wrapText="0"/>
    </xf>
    <xf borderId="3" fillId="0" fontId="19" numFmtId="0" xfId="0" applyAlignment="1" applyBorder="1" applyFont="1">
      <alignment horizontal="center" shrinkToFit="0" vertical="bottom" wrapText="0"/>
    </xf>
    <xf borderId="3" fillId="3" fontId="11" numFmtId="0" xfId="0" applyAlignment="1" applyBorder="1" applyFill="1" applyFont="1">
      <alignment shrinkToFit="0" vertical="bottom" wrapText="0"/>
    </xf>
    <xf borderId="3" fillId="3" fontId="19" numFmtId="0" xfId="0" applyAlignment="1" applyBorder="1" applyFill="1" applyFont="1">
      <alignment horizontal="center" shrinkToFit="0" vertical="bottom" wrapText="0"/>
    </xf>
    <xf borderId="3" fillId="4" fontId="14" numFmtId="0" xfId="0" applyAlignment="1" applyBorder="1" applyFill="1" applyFont="1">
      <alignment shrinkToFit="0" vertical="bottom" wrapText="0"/>
    </xf>
    <xf borderId="3" fillId="4" fontId="1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352550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0"/>
    <col customWidth="1" min="3" max="3" width="47.43"/>
    <col customWidth="1" min="4" max="4" width="47.29"/>
  </cols>
  <sheetData>
    <row r="1">
      <c r="A1" s="3"/>
      <c r="B1" s="3"/>
      <c r="C1" s="3"/>
      <c r="D1" s="4"/>
    </row>
    <row r="2" ht="138.75" customHeight="1">
      <c r="A2" s="7"/>
      <c r="D2" s="8"/>
    </row>
    <row r="3">
      <c r="A3" s="13" t="s">
        <v>5</v>
      </c>
      <c r="D3" s="8"/>
    </row>
    <row r="4">
      <c r="A4" s="14"/>
      <c r="B4" s="14"/>
      <c r="C4" s="16" t="s">
        <v>10</v>
      </c>
      <c r="D4" s="19"/>
    </row>
    <row r="5">
      <c r="A5" s="20" t="s">
        <v>14</v>
      </c>
      <c r="C5" s="23" t="s">
        <v>17</v>
      </c>
      <c r="D5" s="8"/>
    </row>
    <row r="6">
      <c r="A6" s="20" t="s">
        <v>20</v>
      </c>
      <c r="C6" s="28">
        <v>46304.0</v>
      </c>
      <c r="D6" s="8"/>
    </row>
    <row r="7">
      <c r="A7" s="20" t="s">
        <v>24</v>
      </c>
      <c r="C7" s="28">
        <v>46304.0</v>
      </c>
      <c r="D7" s="8"/>
    </row>
    <row r="8">
      <c r="A8" s="20" t="s">
        <v>29</v>
      </c>
      <c r="C8" s="23" t="s">
        <v>32</v>
      </c>
      <c r="D8" s="8"/>
    </row>
    <row r="9">
      <c r="A9" s="20" t="s">
        <v>36</v>
      </c>
      <c r="C9" s="23" t="s">
        <v>32</v>
      </c>
      <c r="D9" s="8"/>
    </row>
    <row r="10">
      <c r="A10" s="20" t="s">
        <v>41</v>
      </c>
      <c r="C10" s="33"/>
      <c r="D10" s="8"/>
    </row>
    <row r="11">
      <c r="A11" s="35" t="s">
        <v>50</v>
      </c>
      <c r="C11" s="33" t="s">
        <v>54</v>
      </c>
      <c r="D11" s="8"/>
    </row>
    <row r="12">
      <c r="A12" s="37" t="s">
        <v>57</v>
      </c>
      <c r="B12" s="38"/>
      <c r="C12" s="39" t="s">
        <v>67</v>
      </c>
      <c r="D12" s="41"/>
    </row>
    <row r="13">
      <c r="A13" s="14"/>
      <c r="B13" s="14"/>
      <c r="C13" s="14"/>
      <c r="D13" s="14"/>
    </row>
    <row r="14">
      <c r="A14" s="43" t="s">
        <v>76</v>
      </c>
      <c r="B14" s="14"/>
      <c r="C14" s="14"/>
      <c r="D14" s="16" t="s">
        <v>10</v>
      </c>
    </row>
    <row r="15">
      <c r="A15" s="44"/>
      <c r="B15" s="44"/>
      <c r="C15" s="44"/>
      <c r="D15" s="44"/>
    </row>
    <row r="16">
      <c r="A16" s="45" t="s">
        <v>86</v>
      </c>
      <c r="B16" s="46" t="s">
        <v>91</v>
      </c>
      <c r="C16" s="47" t="s">
        <v>93</v>
      </c>
      <c r="D16" s="48" t="s">
        <v>97</v>
      </c>
    </row>
    <row r="17">
      <c r="A17" s="49">
        <v>46304.0</v>
      </c>
      <c r="B17" s="50" t="s">
        <v>103</v>
      </c>
      <c r="C17" s="50" t="s">
        <v>32</v>
      </c>
      <c r="D17" s="51" t="s">
        <v>106</v>
      </c>
    </row>
    <row r="18">
      <c r="A18" s="52"/>
      <c r="B18" s="53"/>
      <c r="C18" s="53"/>
      <c r="D18" s="51"/>
    </row>
    <row r="19">
      <c r="A19" s="54"/>
      <c r="B19" s="55"/>
      <c r="C19" s="55"/>
      <c r="D19" s="56"/>
    </row>
    <row r="20">
      <c r="A20" s="54"/>
      <c r="B20" s="55"/>
      <c r="C20" s="55"/>
      <c r="D20" s="56"/>
    </row>
    <row r="21">
      <c r="A21" s="57"/>
      <c r="B21" s="58"/>
      <c r="C21" s="58"/>
      <c r="D21" s="59"/>
    </row>
    <row r="22">
      <c r="A22" s="14"/>
      <c r="B22" s="14"/>
      <c r="C22" s="16" t="s">
        <v>10</v>
      </c>
      <c r="D22" s="14"/>
    </row>
    <row r="23">
      <c r="A23" s="43" t="s">
        <v>116</v>
      </c>
      <c r="B23" s="14"/>
      <c r="C23" s="14"/>
      <c r="D23" s="14"/>
    </row>
    <row r="24">
      <c r="A24" s="44"/>
      <c r="B24" s="44"/>
      <c r="C24" s="44"/>
      <c r="D24" s="44"/>
    </row>
    <row r="25">
      <c r="A25" s="60" t="s">
        <v>86</v>
      </c>
      <c r="B25" s="60" t="s">
        <v>91</v>
      </c>
      <c r="C25" s="60" t="s">
        <v>118</v>
      </c>
      <c r="D25" s="60" t="s">
        <v>119</v>
      </c>
    </row>
    <row r="26">
      <c r="A26" s="61">
        <v>46304.0</v>
      </c>
      <c r="B26" s="50" t="s">
        <v>103</v>
      </c>
      <c r="C26" s="50" t="s">
        <v>32</v>
      </c>
      <c r="D26" s="62" t="s">
        <v>121</v>
      </c>
    </row>
    <row r="27">
      <c r="A27" s="53"/>
      <c r="B27" s="53"/>
      <c r="C27" s="63"/>
      <c r="D27" s="51"/>
    </row>
    <row r="28">
      <c r="A28" s="54"/>
      <c r="B28" s="55"/>
      <c r="C28" s="55"/>
      <c r="D28" s="56"/>
    </row>
    <row r="29">
      <c r="A29" s="54"/>
      <c r="B29" s="55"/>
      <c r="C29" s="55"/>
      <c r="D29" s="56"/>
    </row>
    <row r="30">
      <c r="A30" s="57"/>
      <c r="B30" s="58"/>
      <c r="C30" s="58"/>
      <c r="D30" s="59"/>
    </row>
  </sheetData>
  <mergeCells count="18">
    <mergeCell ref="A7:B7"/>
    <mergeCell ref="A8:B8"/>
    <mergeCell ref="A9:B9"/>
    <mergeCell ref="A10:B10"/>
    <mergeCell ref="A11:B11"/>
    <mergeCell ref="A12:B12"/>
    <mergeCell ref="C8:D8"/>
    <mergeCell ref="C9:D9"/>
    <mergeCell ref="C10:D10"/>
    <mergeCell ref="C11:D11"/>
    <mergeCell ref="C12:D12"/>
    <mergeCell ref="A2:D2"/>
    <mergeCell ref="A3:D3"/>
    <mergeCell ref="A5:B5"/>
    <mergeCell ref="C5:D5"/>
    <mergeCell ref="A6:B6"/>
    <mergeCell ref="C6:D6"/>
    <mergeCell ref="C7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7.0"/>
    <col customWidth="1" min="3" max="3" width="3.0"/>
    <col customWidth="1" min="4" max="4" width="6.0"/>
    <col customWidth="1" min="5" max="5" width="27.0"/>
    <col customWidth="1" min="6" max="6" width="3.0"/>
    <col customWidth="1" min="7" max="7" width="6.0"/>
    <col customWidth="1" min="8" max="8" width="27.0"/>
    <col customWidth="1" min="9" max="9" width="3.0"/>
    <col customWidth="1" min="10" max="10" width="6.0"/>
    <col customWidth="1" min="11" max="11" width="27.0"/>
    <col customWidth="1" min="12" max="12" width="3.0"/>
    <col customWidth="1" min="13" max="13" width="6.0"/>
    <col customWidth="1" min="14" max="14" width="27.0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3</v>
      </c>
      <c r="B3" s="12"/>
      <c r="C3" s="2"/>
      <c r="D3" s="9" t="s">
        <v>9</v>
      </c>
      <c r="E3" s="12"/>
      <c r="F3" s="2"/>
      <c r="G3" s="9" t="s">
        <v>12</v>
      </c>
      <c r="H3" s="12"/>
      <c r="I3" s="2"/>
      <c r="J3" s="9" t="s">
        <v>16</v>
      </c>
      <c r="K3" s="12"/>
      <c r="L3" s="2"/>
      <c r="M3" s="9" t="s">
        <v>19</v>
      </c>
      <c r="N3" s="1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0" t="s">
        <v>4</v>
      </c>
      <c r="B4" s="30" t="s">
        <v>26</v>
      </c>
      <c r="C4" s="2"/>
      <c r="D4" s="30" t="s">
        <v>4</v>
      </c>
      <c r="E4" s="30" t="s">
        <v>26</v>
      </c>
      <c r="F4" s="2"/>
      <c r="G4" s="30" t="s">
        <v>4</v>
      </c>
      <c r="H4" s="30" t="s">
        <v>26</v>
      </c>
      <c r="I4" s="2"/>
      <c r="J4" s="30" t="s">
        <v>4</v>
      </c>
      <c r="K4" s="30" t="s">
        <v>26</v>
      </c>
      <c r="L4" s="2"/>
      <c r="M4" s="30" t="s">
        <v>4</v>
      </c>
      <c r="N4" s="30" t="s">
        <v>26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4">
        <v>1.0</v>
      </c>
      <c r="B5" s="36" t="s">
        <v>55</v>
      </c>
      <c r="C5" s="2"/>
      <c r="D5" s="34">
        <v>1.0</v>
      </c>
      <c r="E5" s="36" t="s">
        <v>58</v>
      </c>
      <c r="F5" s="2"/>
      <c r="G5" s="34">
        <v>1.0</v>
      </c>
      <c r="H5" s="36" t="s">
        <v>61</v>
      </c>
      <c r="I5" s="2"/>
      <c r="J5" s="34">
        <v>1.0</v>
      </c>
      <c r="K5" s="36" t="s">
        <v>63</v>
      </c>
      <c r="L5" s="2"/>
      <c r="M5" s="34">
        <v>1.0</v>
      </c>
      <c r="N5" s="36" t="s">
        <v>64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0">
        <v>2.0</v>
      </c>
      <c r="B6" s="42" t="s">
        <v>61</v>
      </c>
      <c r="C6" s="2"/>
      <c r="D6" s="40">
        <v>2.0</v>
      </c>
      <c r="E6" s="42" t="s">
        <v>77</v>
      </c>
      <c r="F6" s="2"/>
      <c r="G6" s="40">
        <v>2.0</v>
      </c>
      <c r="H6" s="42" t="s">
        <v>80</v>
      </c>
      <c r="I6" s="2"/>
      <c r="J6" s="40">
        <v>2.0</v>
      </c>
      <c r="K6" s="42" t="s">
        <v>81</v>
      </c>
      <c r="L6" s="2"/>
      <c r="M6" s="40">
        <v>2.0</v>
      </c>
      <c r="N6" s="42" t="s">
        <v>83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4">
        <v>3.0</v>
      </c>
      <c r="B7" s="36" t="s">
        <v>85</v>
      </c>
      <c r="C7" s="2"/>
      <c r="D7" s="34">
        <v>3.0</v>
      </c>
      <c r="E7" s="36" t="s">
        <v>87</v>
      </c>
      <c r="F7" s="2"/>
      <c r="G7" s="34">
        <v>3.0</v>
      </c>
      <c r="H7" s="36" t="s">
        <v>88</v>
      </c>
      <c r="I7" s="2"/>
      <c r="J7" s="34">
        <v>3.0</v>
      </c>
      <c r="K7" s="36" t="s">
        <v>89</v>
      </c>
      <c r="L7" s="2"/>
      <c r="M7" s="34">
        <v>3.0</v>
      </c>
      <c r="N7" s="36" t="s">
        <v>90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0">
        <v>4.0</v>
      </c>
      <c r="B8" s="42" t="s">
        <v>92</v>
      </c>
      <c r="C8" s="2"/>
      <c r="D8" s="40">
        <v>4.0</v>
      </c>
      <c r="E8" s="42" t="s">
        <v>94</v>
      </c>
      <c r="F8" s="2"/>
      <c r="G8" s="40">
        <v>4.0</v>
      </c>
      <c r="H8" s="42" t="s">
        <v>95</v>
      </c>
      <c r="I8" s="2"/>
      <c r="J8" s="40">
        <v>4.0</v>
      </c>
      <c r="K8" s="42" t="s">
        <v>96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4">
        <v>5.0</v>
      </c>
      <c r="B9" s="36" t="s">
        <v>98</v>
      </c>
      <c r="C9" s="2"/>
      <c r="D9" s="2"/>
      <c r="E9" s="2"/>
      <c r="F9" s="2"/>
      <c r="G9" s="34">
        <v>5.0</v>
      </c>
      <c r="H9" s="36" t="s">
        <v>85</v>
      </c>
      <c r="I9" s="2"/>
      <c r="J9" s="34">
        <v>5.0</v>
      </c>
      <c r="K9" s="36" t="s">
        <v>99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0">
        <v>6.0</v>
      </c>
      <c r="B10" s="42" t="s">
        <v>100</v>
      </c>
      <c r="C10" s="2"/>
      <c r="D10" s="2"/>
      <c r="E10" s="2"/>
      <c r="F10" s="2"/>
      <c r="G10" s="40">
        <v>6.0</v>
      </c>
      <c r="H10" s="42" t="s">
        <v>101</v>
      </c>
      <c r="I10" s="2"/>
      <c r="J10" s="40">
        <v>6.0</v>
      </c>
      <c r="K10" s="42" t="s">
        <v>102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4">
        <v>7.0</v>
      </c>
      <c r="B11" s="36" t="s">
        <v>104</v>
      </c>
      <c r="C11" s="2"/>
      <c r="D11" s="2"/>
      <c r="E11" s="2"/>
      <c r="F11" s="2"/>
      <c r="G11" s="34">
        <v>7.0</v>
      </c>
      <c r="H11" s="36" t="s">
        <v>105</v>
      </c>
      <c r="I11" s="2"/>
      <c r="J11" s="34">
        <v>7.0</v>
      </c>
      <c r="K11" s="36" t="s">
        <v>107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0">
        <v>8.0</v>
      </c>
      <c r="B12" s="42" t="s">
        <v>94</v>
      </c>
      <c r="C12" s="2"/>
      <c r="D12" s="2"/>
      <c r="E12" s="2"/>
      <c r="F12" s="2"/>
      <c r="G12" s="40">
        <v>8.0</v>
      </c>
      <c r="H12" s="42" t="s">
        <v>108</v>
      </c>
      <c r="I12" s="2"/>
      <c r="J12" s="40">
        <v>8.0</v>
      </c>
      <c r="K12" s="42" t="s">
        <v>109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4">
        <v>9.0</v>
      </c>
      <c r="B13" s="36" t="s">
        <v>110</v>
      </c>
      <c r="C13" s="2"/>
      <c r="D13" s="2"/>
      <c r="E13" s="2"/>
      <c r="F13" s="2"/>
      <c r="G13" s="34">
        <v>9.0</v>
      </c>
      <c r="H13" s="36" t="s">
        <v>111</v>
      </c>
      <c r="I13" s="2"/>
      <c r="J13" s="34">
        <v>9.0</v>
      </c>
      <c r="K13" s="36" t="s">
        <v>112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40">
        <v>10.0</v>
      </c>
      <c r="H14" s="42" t="s">
        <v>100</v>
      </c>
      <c r="I14" s="2"/>
      <c r="J14" s="40">
        <v>10.0</v>
      </c>
      <c r="K14" s="42" t="s">
        <v>113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34">
        <v>11.0</v>
      </c>
      <c r="K15" s="36" t="s">
        <v>114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40">
        <v>12.0</v>
      </c>
      <c r="K16" s="42" t="s">
        <v>115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34">
        <v>13.0</v>
      </c>
      <c r="K17" s="36" t="s">
        <v>117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40">
        <v>14.0</v>
      </c>
      <c r="K18" s="42" t="s">
        <v>120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34">
        <v>15.0</v>
      </c>
      <c r="K19" s="36" t="s">
        <v>122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40">
        <v>16.0</v>
      </c>
      <c r="K20" s="42" t="s">
        <v>123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3:B3"/>
    <mergeCell ref="D3:E3"/>
    <mergeCell ref="G3:H3"/>
    <mergeCell ref="J3:K3"/>
    <mergeCell ref="M3:N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95.0"/>
    <col customWidth="1" min="4" max="26" width="8.71"/>
  </cols>
  <sheetData>
    <row r="1">
      <c r="A1" s="5" t="s">
        <v>2</v>
      </c>
    </row>
    <row r="2">
      <c r="A2" s="6"/>
    </row>
    <row r="4">
      <c r="A4" s="11" t="s">
        <v>4</v>
      </c>
      <c r="B4" s="11" t="s">
        <v>8</v>
      </c>
      <c r="C4" s="11" t="s">
        <v>7</v>
      </c>
    </row>
    <row r="5">
      <c r="A5" s="17">
        <v>1.0</v>
      </c>
      <c r="B5" s="21" t="s">
        <v>13</v>
      </c>
      <c r="C5" s="24" t="s">
        <v>18</v>
      </c>
    </row>
    <row r="6">
      <c r="A6" s="27">
        <v>2.0</v>
      </c>
      <c r="B6" s="31" t="s">
        <v>23</v>
      </c>
      <c r="C6" s="32" t="s">
        <v>30</v>
      </c>
    </row>
    <row r="7">
      <c r="A7" s="17">
        <v>3.0</v>
      </c>
      <c r="B7" s="21" t="s">
        <v>34</v>
      </c>
      <c r="C7" s="24" t="s">
        <v>37</v>
      </c>
    </row>
    <row r="8">
      <c r="A8" s="27">
        <v>4.0</v>
      </c>
      <c r="B8" s="31" t="s">
        <v>40</v>
      </c>
      <c r="C8" s="32" t="s">
        <v>42</v>
      </c>
    </row>
    <row r="9">
      <c r="A9" s="17">
        <v>5.0</v>
      </c>
      <c r="B9" s="21" t="s">
        <v>44</v>
      </c>
      <c r="C9" s="24" t="s">
        <v>46</v>
      </c>
    </row>
    <row r="10">
      <c r="A10" s="27">
        <v>6.0</v>
      </c>
      <c r="B10" s="31" t="s">
        <v>49</v>
      </c>
      <c r="C10" s="32" t="s">
        <v>51</v>
      </c>
    </row>
    <row r="11">
      <c r="A11" s="17">
        <v>7.0</v>
      </c>
      <c r="B11" s="21" t="s">
        <v>60</v>
      </c>
      <c r="C11" s="24" t="s">
        <v>62</v>
      </c>
    </row>
    <row r="12">
      <c r="A12" s="27">
        <v>8.0</v>
      </c>
      <c r="B12" s="31" t="s">
        <v>65</v>
      </c>
      <c r="C12" s="32" t="s">
        <v>66</v>
      </c>
    </row>
    <row r="13">
      <c r="A13" s="17">
        <v>9.0</v>
      </c>
      <c r="B13" s="21" t="s">
        <v>68</v>
      </c>
      <c r="C13" s="24" t="s">
        <v>69</v>
      </c>
    </row>
    <row r="14">
      <c r="A14" s="27">
        <v>10.0</v>
      </c>
      <c r="B14" s="31" t="s">
        <v>70</v>
      </c>
      <c r="C14" s="32" t="s">
        <v>71</v>
      </c>
    </row>
    <row r="15">
      <c r="A15" s="17">
        <v>11.0</v>
      </c>
      <c r="B15" s="21" t="s">
        <v>72</v>
      </c>
      <c r="C15" s="24" t="s">
        <v>73</v>
      </c>
    </row>
    <row r="16">
      <c r="A16" s="27">
        <v>12.0</v>
      </c>
      <c r="B16" s="31" t="s">
        <v>74</v>
      </c>
      <c r="C16" s="32" t="s">
        <v>75</v>
      </c>
    </row>
    <row r="17">
      <c r="A17" s="17">
        <v>13.0</v>
      </c>
      <c r="B17" s="21" t="s">
        <v>78</v>
      </c>
      <c r="C17" s="24" t="s">
        <v>79</v>
      </c>
    </row>
    <row r="18">
      <c r="A18" s="27">
        <v>14.0</v>
      </c>
      <c r="B18" s="31" t="s">
        <v>82</v>
      </c>
      <c r="C18" s="32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8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95.0"/>
    <col customWidth="1" min="4" max="26" width="8.71"/>
  </cols>
  <sheetData>
    <row r="1">
      <c r="A1" s="1" t="s">
        <v>1</v>
      </c>
    </row>
    <row r="2">
      <c r="A2" s="6"/>
    </row>
    <row r="4">
      <c r="A4" s="10" t="s">
        <v>4</v>
      </c>
      <c r="B4" s="10" t="s">
        <v>6</v>
      </c>
      <c r="C4" s="10" t="s">
        <v>7</v>
      </c>
    </row>
    <row r="5">
      <c r="A5" s="15">
        <v>1.0</v>
      </c>
      <c r="B5" s="18" t="s">
        <v>11</v>
      </c>
      <c r="C5" s="22" t="s">
        <v>15</v>
      </c>
    </row>
    <row r="6">
      <c r="A6" s="25">
        <v>2.0</v>
      </c>
      <c r="B6" s="26" t="s">
        <v>21</v>
      </c>
      <c r="C6" s="29" t="s">
        <v>22</v>
      </c>
    </row>
    <row r="7">
      <c r="A7" s="15">
        <v>3.0</v>
      </c>
      <c r="B7" s="18" t="s">
        <v>25</v>
      </c>
      <c r="C7" s="22" t="s">
        <v>27</v>
      </c>
    </row>
    <row r="8">
      <c r="A8" s="25">
        <v>4.0</v>
      </c>
      <c r="B8" s="26" t="s">
        <v>28</v>
      </c>
      <c r="C8" s="29" t="s">
        <v>31</v>
      </c>
    </row>
    <row r="9">
      <c r="A9" s="15">
        <v>5.0</v>
      </c>
      <c r="B9" s="18" t="s">
        <v>33</v>
      </c>
      <c r="C9" s="22" t="s">
        <v>35</v>
      </c>
    </row>
    <row r="10">
      <c r="A10" s="25">
        <v>6.0</v>
      </c>
      <c r="B10" s="26" t="s">
        <v>38</v>
      </c>
      <c r="C10" s="29" t="s">
        <v>39</v>
      </c>
    </row>
    <row r="11">
      <c r="A11" s="15">
        <v>7.0</v>
      </c>
      <c r="B11" s="18" t="s">
        <v>43</v>
      </c>
      <c r="C11" s="22" t="s">
        <v>45</v>
      </c>
    </row>
    <row r="12">
      <c r="A12" s="25">
        <v>8.0</v>
      </c>
      <c r="B12" s="26" t="s">
        <v>47</v>
      </c>
      <c r="C12" s="29" t="s">
        <v>48</v>
      </c>
    </row>
    <row r="13">
      <c r="A13" s="15">
        <v>9.0</v>
      </c>
      <c r="B13" s="18" t="s">
        <v>52</v>
      </c>
      <c r="C13" s="22" t="s">
        <v>53</v>
      </c>
    </row>
    <row r="14">
      <c r="A14" s="25">
        <v>10.0</v>
      </c>
      <c r="B14" s="26" t="s">
        <v>56</v>
      </c>
      <c r="C14" s="29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14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95.0"/>
    <col customWidth="1" min="4" max="26" width="8.71"/>
  </cols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4</v>
      </c>
      <c r="B4" s="11" t="s">
        <v>8</v>
      </c>
      <c r="C4" s="11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>
        <v>1.0</v>
      </c>
      <c r="B5" s="21" t="s">
        <v>126</v>
      </c>
      <c r="C5" s="24" t="s">
        <v>127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7">
        <v>2.0</v>
      </c>
      <c r="B6" s="31" t="s">
        <v>130</v>
      </c>
      <c r="C6" s="32" t="s">
        <v>131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>
        <v>3.0</v>
      </c>
      <c r="B7" s="21" t="s">
        <v>134</v>
      </c>
      <c r="C7" s="24" t="s">
        <v>135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7">
        <v>4.0</v>
      </c>
      <c r="B8" s="31" t="s">
        <v>138</v>
      </c>
      <c r="C8" s="32" t="s">
        <v>139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4:$C$8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95.0"/>
    <col customWidth="1" min="4" max="26" width="8.71"/>
  </cols>
  <sheetData>
    <row r="1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4</v>
      </c>
      <c r="B4" s="11" t="s">
        <v>8</v>
      </c>
      <c r="C4" s="11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>
        <v>1.0</v>
      </c>
      <c r="B5" s="21" t="s">
        <v>128</v>
      </c>
      <c r="C5" s="24" t="s">
        <v>129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7">
        <v>2.0</v>
      </c>
      <c r="B6" s="31" t="s">
        <v>132</v>
      </c>
      <c r="C6" s="32" t="s">
        <v>133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>
        <v>3.0</v>
      </c>
      <c r="B7" s="21" t="s">
        <v>136</v>
      </c>
      <c r="C7" s="24" t="s">
        <v>137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7">
        <v>4.0</v>
      </c>
      <c r="B8" s="31" t="s">
        <v>140</v>
      </c>
      <c r="C8" s="32" t="s">
        <v>141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4:$C$8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32.0"/>
    <col customWidth="1" min="3" max="3" width="95.0"/>
    <col customWidth="1" min="4" max="26" width="8.71"/>
  </cols>
  <sheetData>
    <row r="1">
      <c r="A1" s="1" t="s">
        <v>142</v>
      </c>
    </row>
    <row r="4">
      <c r="A4" s="10" t="s">
        <v>4</v>
      </c>
      <c r="B4" s="10" t="s">
        <v>8</v>
      </c>
      <c r="C4" s="10" t="s">
        <v>7</v>
      </c>
    </row>
    <row r="5">
      <c r="A5" s="15">
        <v>1.0</v>
      </c>
      <c r="B5" s="18" t="s">
        <v>143</v>
      </c>
      <c r="C5" s="22" t="s">
        <v>144</v>
      </c>
    </row>
    <row r="6">
      <c r="A6" s="25">
        <v>2.0</v>
      </c>
      <c r="B6" s="26" t="s">
        <v>145</v>
      </c>
      <c r="C6" s="29" t="s">
        <v>146</v>
      </c>
    </row>
    <row r="7">
      <c r="A7" s="15">
        <v>3.0</v>
      </c>
      <c r="B7" s="18" t="s">
        <v>147</v>
      </c>
      <c r="C7" s="22" t="s">
        <v>148</v>
      </c>
    </row>
    <row r="8">
      <c r="A8" s="25">
        <v>4.0</v>
      </c>
      <c r="B8" s="26" t="s">
        <v>149</v>
      </c>
      <c r="C8" s="29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C$8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20.0"/>
    <col customWidth="1" min="3" max="26" width="8.71"/>
  </cols>
  <sheetData>
    <row r="1">
      <c r="A1" s="5" t="s">
        <v>151</v>
      </c>
    </row>
    <row r="2">
      <c r="A2" s="6"/>
    </row>
    <row r="4">
      <c r="A4" s="64" t="s">
        <v>152</v>
      </c>
      <c r="B4" s="64" t="s">
        <v>153</v>
      </c>
    </row>
    <row r="5">
      <c r="A5" s="65" t="s">
        <v>3</v>
      </c>
      <c r="B5" s="66">
        <f>COUNTA('Référentiels'!B5:B13)</f>
        <v>9</v>
      </c>
    </row>
    <row r="6">
      <c r="A6" s="67" t="s">
        <v>9</v>
      </c>
      <c r="B6" s="68">
        <f>COUNTA('Référentiels'!E5:E8)</f>
        <v>4</v>
      </c>
    </row>
    <row r="7">
      <c r="A7" s="65" t="s">
        <v>12</v>
      </c>
      <c r="B7" s="66">
        <f>COUNTA('Référentiels'!H5:H14)</f>
        <v>10</v>
      </c>
    </row>
    <row r="8">
      <c r="A8" s="67" t="s">
        <v>16</v>
      </c>
      <c r="B8" s="68">
        <f>COUNTA('Référentiels'!K5:K20)</f>
        <v>16</v>
      </c>
    </row>
    <row r="9">
      <c r="A9" s="65" t="s">
        <v>19</v>
      </c>
      <c r="B9" s="66">
        <f>COUNTA('Référentiels'!N5:N7)</f>
        <v>3</v>
      </c>
    </row>
    <row r="10">
      <c r="A10" s="67" t="s">
        <v>154</v>
      </c>
      <c r="B10" s="68">
        <f>COUNTA('Fraudes factures'!B5:B18)</f>
        <v>14</v>
      </c>
    </row>
    <row r="11">
      <c r="A11" s="65" t="s">
        <v>155</v>
      </c>
      <c r="B11" s="66">
        <f>COUNTA('Factures invalides'!B5:B14)</f>
        <v>10</v>
      </c>
    </row>
    <row r="12">
      <c r="A12" s="67" t="s">
        <v>156</v>
      </c>
      <c r="B12" s="68">
        <f>COUNTA('Fraudes ordonnances'!B5:B8)</f>
        <v>4</v>
      </c>
    </row>
    <row r="13">
      <c r="A13" s="65" t="s">
        <v>157</v>
      </c>
      <c r="B13" s="66">
        <f>COUNTA('Fraudes contrats'!B5:B8)</f>
        <v>4</v>
      </c>
    </row>
    <row r="14">
      <c r="A14" s="67" t="s">
        <v>158</v>
      </c>
      <c r="B14" s="68">
        <f>COUNTA('Fraudes prestataires'!B5:B8)</f>
        <v>4</v>
      </c>
    </row>
    <row r="15">
      <c r="A15" s="69" t="s">
        <v>159</v>
      </c>
      <c r="B15" s="70">
        <f>SUM(B5:B14)</f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